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371a307470b8bc/Desktop/"/>
    </mc:Choice>
  </mc:AlternateContent>
  <xr:revisionPtr revIDLastSave="0" documentId="14_{96193E1C-3046-4CC5-A31D-EFD6636673D8}" xr6:coauthVersionLast="47" xr6:coauthVersionMax="47" xr10:uidLastSave="{00000000-0000-0000-0000-000000000000}"/>
  <bookViews>
    <workbookView xWindow="-110" yWindow="-110" windowWidth="19420" windowHeight="10300" xr2:uid="{FE997F1A-0268-4831-8991-578C0738A293}"/>
  </bookViews>
  <sheets>
    <sheet name="Index" sheetId="4" r:id="rId1"/>
    <sheet name="Materiality" sheetId="1" r:id="rId2"/>
    <sheet name="Risk Matrix" sheetId="2" r:id="rId3"/>
    <sheet name="Testing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4" i="1"/>
  <c r="D3" i="1"/>
  <c r="D2" i="1"/>
</calcChain>
</file>

<file path=xl/sharedStrings.xml><?xml version="1.0" encoding="utf-8"?>
<sst xmlns="http://schemas.openxmlformats.org/spreadsheetml/2006/main" count="73" uniqueCount="61">
  <si>
    <t>Benchmark</t>
  </si>
  <si>
    <t>Revenue</t>
  </si>
  <si>
    <t>Profit Before Tax</t>
  </si>
  <si>
    <t>Total Assets</t>
  </si>
  <si>
    <t>% Applied</t>
  </si>
  <si>
    <t>Materiality</t>
  </si>
  <si>
    <t>Planning Materiality</t>
  </si>
  <si>
    <t>Performace Materiality</t>
  </si>
  <si>
    <t>Area</t>
  </si>
  <si>
    <t>Inventory</t>
  </si>
  <si>
    <t>Cash</t>
  </si>
  <si>
    <t>Purchases</t>
  </si>
  <si>
    <t>Payroll</t>
  </si>
  <si>
    <t>Risk Level</t>
  </si>
  <si>
    <t>High</t>
  </si>
  <si>
    <t>Medium</t>
  </si>
  <si>
    <t>Low</t>
  </si>
  <si>
    <t>Reason</t>
  </si>
  <si>
    <t>Risk of overstatement</t>
  </si>
  <si>
    <t>Valuation Risk</t>
  </si>
  <si>
    <t>Bank Reconciliation Errors</t>
  </si>
  <si>
    <t>Cut-off risk at year end</t>
  </si>
  <si>
    <t>Stable process, minor misclassification</t>
  </si>
  <si>
    <t>Impact</t>
  </si>
  <si>
    <t>Control Response</t>
  </si>
  <si>
    <t>Valuation testing</t>
  </si>
  <si>
    <t>Substantive testing</t>
  </si>
  <si>
    <t>Full reconciliation</t>
  </si>
  <si>
    <t>Cut- off testing</t>
  </si>
  <si>
    <t>Analytical review</t>
  </si>
  <si>
    <t>Transaction ID</t>
  </si>
  <si>
    <t>Description</t>
  </si>
  <si>
    <t>Evidence</t>
  </si>
  <si>
    <t>Tick Mark</t>
  </si>
  <si>
    <t>Notes</t>
  </si>
  <si>
    <t>INV-101</t>
  </si>
  <si>
    <t>INV-102</t>
  </si>
  <si>
    <t>BILL-556</t>
  </si>
  <si>
    <t>CASH-01</t>
  </si>
  <si>
    <t>Sales Invoice</t>
  </si>
  <si>
    <t>Purchase Bill</t>
  </si>
  <si>
    <t>Bank Charge</t>
  </si>
  <si>
    <t>Bank Receipt</t>
  </si>
  <si>
    <t>Missing Receipt</t>
  </si>
  <si>
    <t>Supplier Invoice</t>
  </si>
  <si>
    <t>Bank Statement</t>
  </si>
  <si>
    <t>Matched</t>
  </si>
  <si>
    <t>Exception Flagged</t>
  </si>
  <si>
    <t>Correctly Posted</t>
  </si>
  <si>
    <t>Posted to Bank Fees</t>
  </si>
  <si>
    <t>ü</t>
  </si>
  <si>
    <t>û</t>
  </si>
  <si>
    <t>Sheet Name</t>
  </si>
  <si>
    <t>Purpose</t>
  </si>
  <si>
    <t>Shows calculation of thresholds</t>
  </si>
  <si>
    <t>Risk Matrix</t>
  </si>
  <si>
    <t>Identifies high/medium/low risks</t>
  </si>
  <si>
    <t>Testing</t>
  </si>
  <si>
    <t>Evidence of audit procedures</t>
  </si>
  <si>
    <r>
      <t>Amount (</t>
    </r>
    <r>
      <rPr>
        <b/>
        <sz val="11"/>
        <color theme="1"/>
        <rFont val="Calibri"/>
        <family val="2"/>
      </rPr>
      <t>£)</t>
    </r>
  </si>
  <si>
    <r>
      <t>Materiality (</t>
    </r>
    <r>
      <rPr>
        <b/>
        <sz val="11"/>
        <color theme="1"/>
        <rFont val="Calibri"/>
        <family val="2"/>
      </rPr>
      <t>£)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</si>
</sst>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Wingdings"/>
      <charset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9" fontId="0" fillId="0" borderId="1" xfId="0" applyNumberFormat="1" applyBorder="1"/>
    <xf numFmtId="9" fontId="0" fillId="0" borderId="1" xfId="1" applyFont="1" applyBorder="1"/>
    <xf numFmtId="0" fontId="0" fillId="0" borderId="3" xfId="0" applyBorder="1"/>
    <xf numFmtId="0" fontId="2" fillId="0" borderId="2" xfId="0" applyFont="1" applyBorder="1"/>
    <xf numFmtId="0" fontId="0" fillId="0" borderId="4" xfId="0" applyBorder="1"/>
    <xf numFmtId="9" fontId="0" fillId="0" borderId="4" xfId="1" applyFont="1" applyBorder="1"/>
    <xf numFmtId="0" fontId="4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2">
    <cellStyle name="Normal" xfId="0" builtinId="0"/>
    <cellStyle name="Percent" xfId="1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C6D0B-C0B3-4446-8F54-17180C6BD442}">
  <dimension ref="A1:B5"/>
  <sheetViews>
    <sheetView tabSelected="1" workbookViewId="0">
      <selection activeCell="C8" sqref="C8"/>
    </sheetView>
  </sheetViews>
  <sheetFormatPr defaultRowHeight="14.5" x14ac:dyDescent="0.35"/>
  <cols>
    <col min="1" max="1" width="13.26953125" customWidth="1"/>
    <col min="2" max="2" width="33.90625" customWidth="1"/>
  </cols>
  <sheetData>
    <row r="1" spans="1:2" ht="21" customHeight="1" x14ac:dyDescent="0.35">
      <c r="A1" s="11" t="s">
        <v>52</v>
      </c>
      <c r="B1" s="11" t="s">
        <v>53</v>
      </c>
    </row>
    <row r="2" spans="1:2" ht="32" customHeight="1" x14ac:dyDescent="0.35">
      <c r="A2" s="11" t="s">
        <v>5</v>
      </c>
      <c r="B2" s="12" t="s">
        <v>54</v>
      </c>
    </row>
    <row r="3" spans="1:2" ht="30.5" customHeight="1" x14ac:dyDescent="0.35">
      <c r="A3" s="11" t="s">
        <v>55</v>
      </c>
      <c r="B3" s="12" t="s">
        <v>56</v>
      </c>
    </row>
    <row r="4" spans="1:2" ht="32.5" customHeight="1" x14ac:dyDescent="0.35">
      <c r="A4" s="11" t="s">
        <v>57</v>
      </c>
      <c r="B4" s="12" t="s">
        <v>58</v>
      </c>
    </row>
    <row r="5" spans="1:2" ht="29" customHeight="1" x14ac:dyDescent="0.3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4B754-A43F-421E-A524-06FDE8C07952}">
  <dimension ref="A1:D6"/>
  <sheetViews>
    <sheetView zoomScale="140" zoomScaleNormal="140" workbookViewId="0">
      <pane ySplit="1" topLeftCell="A2" activePane="bottomLeft" state="frozen"/>
      <selection pane="bottomLeft" activeCell="D3" sqref="D3"/>
    </sheetView>
  </sheetViews>
  <sheetFormatPr defaultRowHeight="14.5" x14ac:dyDescent="0.35"/>
  <cols>
    <col min="1" max="1" width="20.36328125" bestFit="1" customWidth="1"/>
    <col min="2" max="2" width="10.36328125" bestFit="1" customWidth="1"/>
    <col min="3" max="3" width="9.08984375" bestFit="1" customWidth="1"/>
    <col min="4" max="4" width="12.7265625" bestFit="1" customWidth="1"/>
  </cols>
  <sheetData>
    <row r="1" spans="1:4" x14ac:dyDescent="0.35">
      <c r="A1" s="2" t="s">
        <v>0</v>
      </c>
      <c r="B1" s="2" t="s">
        <v>59</v>
      </c>
      <c r="C1" s="2" t="s">
        <v>4</v>
      </c>
      <c r="D1" s="2" t="s">
        <v>60</v>
      </c>
    </row>
    <row r="2" spans="1:4" x14ac:dyDescent="0.35">
      <c r="A2" s="3" t="s">
        <v>1</v>
      </c>
      <c r="B2" s="3">
        <v>10000000</v>
      </c>
      <c r="C2" s="4">
        <v>0.01</v>
      </c>
      <c r="D2" s="3">
        <f>B2*C2</f>
        <v>100000</v>
      </c>
    </row>
    <row r="3" spans="1:4" x14ac:dyDescent="0.35">
      <c r="A3" s="3" t="s">
        <v>2</v>
      </c>
      <c r="B3" s="3">
        <v>1200000</v>
      </c>
      <c r="C3" s="5">
        <v>0.05</v>
      </c>
      <c r="D3" s="3">
        <f>B3*C3</f>
        <v>60000</v>
      </c>
    </row>
    <row r="4" spans="1:4" ht="15" thickBot="1" x14ac:dyDescent="0.4">
      <c r="A4" s="3" t="s">
        <v>3</v>
      </c>
      <c r="B4" s="3">
        <v>8500000</v>
      </c>
      <c r="C4" s="4">
        <v>0.01</v>
      </c>
      <c r="D4" s="6">
        <f>B4*C4</f>
        <v>85000</v>
      </c>
    </row>
    <row r="5" spans="1:4" ht="15" thickBot="1" x14ac:dyDescent="0.4">
      <c r="A5" s="2" t="s">
        <v>6</v>
      </c>
      <c r="B5" s="3"/>
      <c r="C5" s="8"/>
      <c r="D5" s="7">
        <f>MAX(D2:D4)</f>
        <v>100000</v>
      </c>
    </row>
    <row r="6" spans="1:4" ht="15" thickBot="1" x14ac:dyDescent="0.4">
      <c r="A6" s="2" t="s">
        <v>7</v>
      </c>
      <c r="B6" s="3"/>
      <c r="C6" s="9"/>
      <c r="D6" s="7">
        <f>D2*75%</f>
        <v>75000</v>
      </c>
    </row>
  </sheetData>
  <pageMargins left="0.7" right="0.7" top="0.75" bottom="0.75" header="0.3" footer="0.3"/>
  <pageSetup paperSize="1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50825-DD1E-4602-8BDC-23995BEB6F09}">
  <dimension ref="A1:E6"/>
  <sheetViews>
    <sheetView zoomScale="160" zoomScaleNormal="160" workbookViewId="0">
      <pane ySplit="1" topLeftCell="A2" activePane="bottomLeft" state="frozen"/>
      <selection pane="bottomLeft" activeCell="E15" sqref="E15"/>
    </sheetView>
  </sheetViews>
  <sheetFormatPr defaultRowHeight="14.5" x14ac:dyDescent="0.35"/>
  <cols>
    <col min="3" max="3" width="32.54296875" bestFit="1" customWidth="1"/>
    <col min="5" max="5" width="17" bestFit="1" customWidth="1"/>
  </cols>
  <sheetData>
    <row r="1" spans="1:5" x14ac:dyDescent="0.35">
      <c r="A1" s="2" t="s">
        <v>8</v>
      </c>
      <c r="B1" s="2" t="s">
        <v>13</v>
      </c>
      <c r="C1" s="2" t="s">
        <v>17</v>
      </c>
      <c r="D1" s="2" t="s">
        <v>23</v>
      </c>
      <c r="E1" s="2" t="s">
        <v>24</v>
      </c>
    </row>
    <row r="2" spans="1:5" x14ac:dyDescent="0.35">
      <c r="A2" s="3" t="s">
        <v>1</v>
      </c>
      <c r="B2" s="3" t="s">
        <v>14</v>
      </c>
      <c r="C2" s="3" t="s">
        <v>18</v>
      </c>
      <c r="D2" s="3" t="s">
        <v>14</v>
      </c>
      <c r="E2" s="3" t="s">
        <v>26</v>
      </c>
    </row>
    <row r="3" spans="1:5" x14ac:dyDescent="0.35">
      <c r="A3" s="3" t="s">
        <v>9</v>
      </c>
      <c r="B3" s="3" t="s">
        <v>14</v>
      </c>
      <c r="C3" s="3" t="s">
        <v>19</v>
      </c>
      <c r="D3" s="3" t="s">
        <v>14</v>
      </c>
      <c r="E3" s="3" t="s">
        <v>25</v>
      </c>
    </row>
    <row r="4" spans="1:5" x14ac:dyDescent="0.35">
      <c r="A4" s="3" t="s">
        <v>10</v>
      </c>
      <c r="B4" s="3" t="s">
        <v>15</v>
      </c>
      <c r="C4" s="3" t="s">
        <v>20</v>
      </c>
      <c r="D4" s="3" t="s">
        <v>15</v>
      </c>
      <c r="E4" s="3" t="s">
        <v>27</v>
      </c>
    </row>
    <row r="5" spans="1:5" x14ac:dyDescent="0.35">
      <c r="A5" s="3" t="s">
        <v>11</v>
      </c>
      <c r="B5" s="3" t="s">
        <v>15</v>
      </c>
      <c r="C5" s="3" t="s">
        <v>21</v>
      </c>
      <c r="D5" s="3" t="s">
        <v>15</v>
      </c>
      <c r="E5" s="3" t="s">
        <v>28</v>
      </c>
    </row>
    <row r="6" spans="1:5" x14ac:dyDescent="0.35">
      <c r="A6" s="3" t="s">
        <v>12</v>
      </c>
      <c r="B6" s="3" t="s">
        <v>16</v>
      </c>
      <c r="C6" s="3" t="s">
        <v>22</v>
      </c>
      <c r="D6" s="3" t="s">
        <v>16</v>
      </c>
      <c r="E6" s="3" t="s">
        <v>29</v>
      </c>
    </row>
  </sheetData>
  <conditionalFormatting sqref="B1">
    <cfRule type="containsText" dxfId="4" priority="8" operator="containsText" text="high">
      <formula>NOT(ISERROR(SEARCH("high",B1)))</formula>
    </cfRule>
  </conditionalFormatting>
  <conditionalFormatting sqref="B2:B3">
    <cfRule type="containsText" dxfId="3" priority="6" operator="containsText" text="High">
      <formula>NOT(ISERROR(SEARCH("High",B2)))</formula>
    </cfRule>
  </conditionalFormatting>
  <conditionalFormatting sqref="B4">
    <cfRule type="containsText" dxfId="2" priority="5" operator="containsText" text="Medium">
      <formula>NOT(ISERROR(SEARCH("Medium",B4)))</formula>
    </cfRule>
  </conditionalFormatting>
  <conditionalFormatting sqref="B4:B5">
    <cfRule type="containsText" dxfId="1" priority="3" operator="containsText" text="Medium">
      <formula>NOT(ISERROR(SEARCH("Medium",B4)))</formula>
    </cfRule>
  </conditionalFormatting>
  <conditionalFormatting sqref="B6">
    <cfRule type="containsText" dxfId="0" priority="2" operator="containsText" text="Low">
      <formula>NOT(ISERROR(SEARCH("Low",B6)))</formula>
    </cfRule>
  </conditionalFormatting>
  <conditionalFormatting sqref="D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52ABE-96B1-470E-B046-2D3F82835595}">
  <dimension ref="A1:F5"/>
  <sheetViews>
    <sheetView workbookViewId="0">
      <pane ySplit="1" topLeftCell="A2" activePane="bottomLeft" state="frozen"/>
      <selection pane="bottomLeft" activeCell="H14" sqref="H14"/>
    </sheetView>
  </sheetViews>
  <sheetFormatPr defaultRowHeight="14.5" x14ac:dyDescent="0.35"/>
  <cols>
    <col min="1" max="1" width="13" bestFit="1" customWidth="1"/>
    <col min="2" max="2" width="11.36328125" style="1" bestFit="1" customWidth="1"/>
    <col min="3" max="3" width="10.36328125" customWidth="1"/>
    <col min="4" max="4" width="13.7265625" bestFit="1" customWidth="1"/>
    <col min="5" max="5" width="9" bestFit="1" customWidth="1"/>
    <col min="6" max="6" width="17.54296875" bestFit="1" customWidth="1"/>
  </cols>
  <sheetData>
    <row r="1" spans="1:6" x14ac:dyDescent="0.35">
      <c r="A1" s="2" t="s">
        <v>30</v>
      </c>
      <c r="B1" s="2" t="s">
        <v>31</v>
      </c>
      <c r="C1" s="2" t="s">
        <v>59</v>
      </c>
      <c r="D1" s="2" t="s">
        <v>32</v>
      </c>
      <c r="E1" s="2" t="s">
        <v>33</v>
      </c>
      <c r="F1" s="2" t="s">
        <v>34</v>
      </c>
    </row>
    <row r="2" spans="1:6" x14ac:dyDescent="0.35">
      <c r="A2" s="3" t="s">
        <v>35</v>
      </c>
      <c r="B2" s="3" t="s">
        <v>39</v>
      </c>
      <c r="C2" s="3">
        <v>1200</v>
      </c>
      <c r="D2" s="3" t="s">
        <v>42</v>
      </c>
      <c r="E2" s="10" t="s">
        <v>50</v>
      </c>
      <c r="F2" s="3" t="s">
        <v>46</v>
      </c>
    </row>
    <row r="3" spans="1:6" x14ac:dyDescent="0.35">
      <c r="A3" s="3" t="s">
        <v>36</v>
      </c>
      <c r="B3" s="3" t="s">
        <v>39</v>
      </c>
      <c r="C3" s="3">
        <v>1440</v>
      </c>
      <c r="D3" s="3" t="s">
        <v>43</v>
      </c>
      <c r="E3" s="10" t="s">
        <v>51</v>
      </c>
      <c r="F3" s="3" t="s">
        <v>47</v>
      </c>
    </row>
    <row r="4" spans="1:6" x14ac:dyDescent="0.35">
      <c r="A4" s="3" t="s">
        <v>37</v>
      </c>
      <c r="B4" s="3" t="s">
        <v>40</v>
      </c>
      <c r="C4" s="3">
        <v>768</v>
      </c>
      <c r="D4" s="3" t="s">
        <v>44</v>
      </c>
      <c r="E4" s="10" t="s">
        <v>50</v>
      </c>
      <c r="F4" s="3" t="s">
        <v>48</v>
      </c>
    </row>
    <row r="5" spans="1:6" x14ac:dyDescent="0.35">
      <c r="A5" s="3" t="s">
        <v>38</v>
      </c>
      <c r="B5" s="3" t="s">
        <v>41</v>
      </c>
      <c r="C5" s="3">
        <v>50</v>
      </c>
      <c r="D5" s="3" t="s">
        <v>45</v>
      </c>
      <c r="E5" s="10" t="s">
        <v>50</v>
      </c>
      <c r="F5" s="3" t="s">
        <v>49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</vt:lpstr>
      <vt:lpstr>Materiality</vt:lpstr>
      <vt:lpstr>Risk Matrix</vt:lpstr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Singh</dc:creator>
  <cp:lastModifiedBy>Akanksha Singh</cp:lastModifiedBy>
  <cp:lastPrinted>2026-10-06T15:35:17Z</cp:lastPrinted>
  <dcterms:created xsi:type="dcterms:W3CDTF">2026-09-28T15:43:52Z</dcterms:created>
  <dcterms:modified xsi:type="dcterms:W3CDTF">2026-10-10T15:33:27Z</dcterms:modified>
</cp:coreProperties>
</file>