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371a307470b8bc/Documents/"/>
    </mc:Choice>
  </mc:AlternateContent>
  <xr:revisionPtr revIDLastSave="140" documentId="8_{EAB40F3E-62AC-46F4-8BB0-6866C3F7A767}" xr6:coauthVersionLast="47" xr6:coauthVersionMax="47" xr10:uidLastSave="{8D5D3E56-60FB-4F91-BE5E-2A72D4EA7CA4}"/>
  <bookViews>
    <workbookView xWindow="-110" yWindow="-110" windowWidth="19420" windowHeight="10300" xr2:uid="{B945F5D4-18EC-43ED-851D-36283D2509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I3" i="1"/>
  <c r="I4" i="1"/>
  <c r="H3" i="1"/>
  <c r="H4" i="1"/>
  <c r="H2" i="1"/>
  <c r="I2" i="1"/>
  <c r="J2" i="1"/>
</calcChain>
</file>

<file path=xl/sharedStrings.xml><?xml version="1.0" encoding="utf-8"?>
<sst xmlns="http://schemas.openxmlformats.org/spreadsheetml/2006/main" count="10" uniqueCount="10">
  <si>
    <t>Year</t>
  </si>
  <si>
    <t>Revenue</t>
  </si>
  <si>
    <t>Cost of Sales</t>
  </si>
  <si>
    <t>Net Profit</t>
  </si>
  <si>
    <t>Current Assets</t>
  </si>
  <si>
    <t>Current Liabilities</t>
  </si>
  <si>
    <t>Total Debt</t>
  </si>
  <si>
    <t>Gross Profit Margin</t>
  </si>
  <si>
    <t>Current Ratio</t>
  </si>
  <si>
    <t>Net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</si>
</sst>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1" applyFont="1"/>
    <xf numFmtId="9" fontId="2" fillId="0" borderId="0" xfId="1" applyFont="1"/>
    <xf numFmtId="0" fontId="0" fillId="0" borderId="0" xfId="0" applyAlignment="1">
      <alignment horizontal="left"/>
    </xf>
    <xf numFmtId="9" fontId="0" fillId="0" borderId="0" xfId="1" applyFont="1" applyAlignment="1">
      <alignment horizontal="left"/>
    </xf>
    <xf numFmtId="2" fontId="0" fillId="0" borderId="0" xfId="0" applyNumberFormat="1" applyAlignment="1">
      <alignment horizontal="left"/>
    </xf>
  </cellXfs>
  <cellStyles count="2">
    <cellStyle name="Normal" xfId="0" builtinId="0"/>
    <cellStyle name="Percent" xfId="1" builtinId="5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E3FDAD-2E38-466E-B2BC-FDD6BE88B27B}" name="Table2" displayName="Table2" ref="A1:J4" totalsRowShown="0">
  <autoFilter ref="A1:J4" xr:uid="{6FE3FDAD-2E38-466E-B2BC-FDD6BE88B27B}"/>
  <tableColumns count="10">
    <tableColumn id="1" xr3:uid="{CBC5D83D-033F-42A9-A6FD-036AED2FDC5D}" name="Year"/>
    <tableColumn id="2" xr3:uid="{D3D29808-70C3-44A3-BE24-BBA105A4FE24}" name="Revenue" dataDxfId="8"/>
    <tableColumn id="3" xr3:uid="{0C626B96-8E24-4E4B-95B4-CBD12EF8A8E1}" name="Cost of Sales" dataDxfId="7"/>
    <tableColumn id="4" xr3:uid="{F56C8998-BE32-4109-805C-E664C086A25F}" name="Net Profit" dataDxfId="6"/>
    <tableColumn id="5" xr3:uid="{6079282E-CFA2-4ACA-A3ED-570C7D37B4ED}" name="Current Assets" dataDxfId="5"/>
    <tableColumn id="6" xr3:uid="{8CDB321B-2AE2-47D6-8E5F-0899676B2D80}" name="Current Liabilities" dataDxfId="4"/>
    <tableColumn id="7" xr3:uid="{0BF57875-B701-47F0-840A-183CE02DDB90}" name="Total Debt" dataDxfId="3"/>
    <tableColumn id="8" xr3:uid="{14C4082B-0E9E-48C2-AD90-297D6D75A217}" name="Gross Profit Margin" dataDxfId="2" dataCellStyle="Percent">
      <calculatedColumnFormula xml:space="preserve"> (B2 - C2 ) /B2</calculatedColumnFormula>
    </tableColumn>
    <tableColumn id="9" xr3:uid="{EFA53087-A72E-4AE3-A852-9E431C702152}" name="Current Ratio" dataDxfId="1">
      <calculatedColumnFormula>E2/F2</calculatedColumnFormula>
    </tableColumn>
    <tableColumn id="10" xr3:uid="{CC7A1415-A9EC-454C-8C06-44E2E07BA46A}" name="Net Profit Margin" dataDxfId="0" dataCellStyle="Percent">
      <calculatedColumnFormula>D2/B2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888DE-FF1F-4B77-BA55-9DECD13CC8F8}">
  <dimension ref="A1:J10"/>
  <sheetViews>
    <sheetView tabSelected="1" zoomScale="83" zoomScaleNormal="83" workbookViewId="0">
      <selection activeCell="I9" sqref="I9"/>
    </sheetView>
  </sheetViews>
  <sheetFormatPr defaultRowHeight="14.5" x14ac:dyDescent="0.35"/>
  <cols>
    <col min="1" max="1" width="6.453125" customWidth="1"/>
    <col min="2" max="2" width="9.7265625" customWidth="1"/>
    <col min="3" max="3" width="13.1796875" customWidth="1"/>
    <col min="4" max="4" width="10.7265625" customWidth="1"/>
    <col min="5" max="5" width="14.36328125" customWidth="1"/>
    <col min="6" max="6" width="16.7265625" customWidth="1"/>
    <col min="7" max="7" width="11.26953125" customWidth="1"/>
    <col min="8" max="8" width="18.26953125" style="1" customWidth="1"/>
    <col min="9" max="9" width="13.54296875" customWidth="1"/>
    <col min="10" max="10" width="16.7265625" style="1" customWidth="1"/>
  </cols>
  <sheetData>
    <row r="1" spans="1:10" x14ac:dyDescent="0.35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s="1" t="s">
        <v>9</v>
      </c>
    </row>
    <row r="2" spans="1:10" x14ac:dyDescent="0.35">
      <c r="A2">
        <v>2024</v>
      </c>
      <c r="B2" s="3">
        <v>1071174</v>
      </c>
      <c r="C2" s="3">
        <v>629689</v>
      </c>
      <c r="D2" s="3">
        <v>81309</v>
      </c>
      <c r="E2" s="3">
        <v>499270</v>
      </c>
      <c r="F2" s="3">
        <v>453785</v>
      </c>
      <c r="G2" s="3">
        <v>347530</v>
      </c>
      <c r="H2" s="4">
        <f xml:space="preserve"> (B2 - C2 ) /B2</f>
        <v>0.41215059364771739</v>
      </c>
      <c r="I2" s="5">
        <f>E2/F2</f>
        <v>1.100234692640788</v>
      </c>
      <c r="J2" s="4">
        <f>D2/B2</f>
        <v>7.5906435369043679E-2</v>
      </c>
    </row>
    <row r="3" spans="1:10" x14ac:dyDescent="0.35">
      <c r="A3">
        <v>2025</v>
      </c>
      <c r="B3" s="3">
        <v>1071174</v>
      </c>
      <c r="C3" s="3">
        <v>645132</v>
      </c>
      <c r="D3" s="3">
        <v>81309</v>
      </c>
      <c r="E3" s="3">
        <v>499270</v>
      </c>
      <c r="F3" s="3">
        <v>453785</v>
      </c>
      <c r="G3" s="3">
        <v>347530</v>
      </c>
      <c r="H3" s="4">
        <f t="shared" ref="H3:H4" si="0" xml:space="preserve"> (B3 - C3 ) /B3</f>
        <v>0.39773370152748294</v>
      </c>
      <c r="I3" s="5">
        <f t="shared" ref="I3:I4" si="1">E3/F3</f>
        <v>1.100234692640788</v>
      </c>
      <c r="J3" s="4">
        <f t="shared" ref="J3:J4" si="2">D3/B3</f>
        <v>7.5906435369043679E-2</v>
      </c>
    </row>
    <row r="4" spans="1:10" x14ac:dyDescent="0.35">
      <c r="A4">
        <v>2026</v>
      </c>
      <c r="B4" s="3">
        <v>1175919</v>
      </c>
      <c r="C4" s="3">
        <v>707119</v>
      </c>
      <c r="D4" s="3">
        <v>81309</v>
      </c>
      <c r="E4" s="3">
        <v>499270</v>
      </c>
      <c r="F4" s="3">
        <v>453785</v>
      </c>
      <c r="G4" s="3">
        <v>347530</v>
      </c>
      <c r="H4" s="4">
        <f t="shared" si="0"/>
        <v>0.39866691498308982</v>
      </c>
      <c r="I4" s="5">
        <f t="shared" si="1"/>
        <v>1.100234692640788</v>
      </c>
      <c r="J4" s="4">
        <f t="shared" si="2"/>
        <v>6.9145068665443787E-2</v>
      </c>
    </row>
    <row r="6" spans="1:10" ht="18" customHeight="1" x14ac:dyDescent="0.35">
      <c r="H6" s="2"/>
    </row>
    <row r="10" spans="1:10" ht="16.5" customHeight="1" x14ac:dyDescent="0.35">
      <c r="C10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Singh</dc:creator>
  <cp:lastModifiedBy>Akanksha Singh</cp:lastModifiedBy>
  <dcterms:created xsi:type="dcterms:W3CDTF">2026-09-10T15:31:41Z</dcterms:created>
  <dcterms:modified xsi:type="dcterms:W3CDTF">2026-10-13T14:26:06Z</dcterms:modified>
</cp:coreProperties>
</file>