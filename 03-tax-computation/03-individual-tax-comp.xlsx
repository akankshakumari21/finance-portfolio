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371A307470B8BC/Documents/"/>
    </mc:Choice>
  </mc:AlternateContent>
  <xr:revisionPtr revIDLastSave="0" documentId="8_{F858645E-D297-4D08-9EAD-BC8AAD6BDC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1_Summary_README" sheetId="1" r:id="rId1"/>
    <sheet name="04_Working_Notes" sheetId="2" r:id="rId2"/>
    <sheet name="02_Individual_Comp" sheetId="3" r:id="rId3"/>
    <sheet name="03_Corporate_Com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B17" i="3"/>
  <c r="E8" i="2"/>
  <c r="B13" i="2" s="1"/>
  <c r="B11" i="4" s="1"/>
  <c r="B12" i="4" s="1"/>
  <c r="D8" i="2"/>
  <c r="E7" i="2"/>
  <c r="B12" i="2" s="1"/>
  <c r="B11" i="3" s="1"/>
  <c r="B12" i="3" s="1"/>
  <c r="B14" i="3"/>
  <c r="B13" i="4"/>
  <c r="B19" i="3"/>
</calcChain>
</file>

<file path=xl/sharedStrings.xml><?xml version="1.0" encoding="utf-8"?>
<sst xmlns="http://schemas.openxmlformats.org/spreadsheetml/2006/main" count="71" uniqueCount="61">
  <si>
    <t>BrightLeaf Interiors Ltd</t>
  </si>
  <si>
    <t>Tax Computation Project Workbook</t>
  </si>
  <si>
    <t>Project Component</t>
  </si>
  <si>
    <t>Description</t>
  </si>
  <si>
    <t>01_Summary_README</t>
  </si>
  <si>
    <t>Overview of project environment, tabs, and baseline data parameters.</t>
  </si>
  <si>
    <t>02_Individual_Comp</t>
  </si>
  <si>
    <t>Tax computation schedule for a Self-Employed Consultant converting accounting profit to taxable income.</t>
  </si>
  <si>
    <t>03_Corporate_Comp</t>
  </si>
  <si>
    <t>Corporate tax computation schedule for BrightLeaf Interiors Ltd adjusting accounting profits for Corporation Tax.</t>
  </si>
  <si>
    <t>04_Working_Notes</t>
  </si>
  <si>
    <t>Foundational schedules for calculating Capital Allowances (AIA &amp; Writing-Down Allowances) linking to main schedules.</t>
  </si>
  <si>
    <t>Supporting Tax Working Notes</t>
  </si>
  <si>
    <t>Note 1: Capital Allowances Calculation (Plant &amp; Machinery Pool)</t>
  </si>
  <si>
    <t>Asset Description</t>
  </si>
  <si>
    <t>Cost (£)</t>
  </si>
  <si>
    <t>AIA Claim (100%)</t>
  </si>
  <si>
    <t>Writing-Down Allowance (18%)</t>
  </si>
  <si>
    <t>Allowances Claimed (£)</t>
  </si>
  <si>
    <t>New Equipment (Individual Comp)</t>
  </si>
  <si>
    <t>Main Pool Brought Forward (Corporate)</t>
  </si>
  <si>
    <t>Summary of Allowances for Transfer</t>
  </si>
  <si>
    <t>Total Individual Capital Allowances</t>
  </si>
  <si>
    <t>Total Corporate Capital Allowances</t>
  </si>
  <si>
    <t>Individual Tax Computation - Self-Employed Consultant</t>
  </si>
  <si>
    <t>Tax Year: 2026/2027</t>
  </si>
  <si>
    <t>Net Profit per Accounts</t>
  </si>
  <si>
    <t>From P&amp;L Statement</t>
  </si>
  <si>
    <t>Add: Disallowable Expenses</t>
  </si>
  <si>
    <t xml:space="preserve">   Add: Depreciation</t>
  </si>
  <si>
    <t>Added back for tax</t>
  </si>
  <si>
    <t xml:space="preserve">   Add: Client Entertaining</t>
  </si>
  <si>
    <t>Blocked by HMRC</t>
  </si>
  <si>
    <t xml:space="preserve">   Add: Private Drawings in Expenses</t>
  </si>
  <si>
    <t>Not a business cost</t>
  </si>
  <si>
    <t>Less: Capital Allowances</t>
  </si>
  <si>
    <t xml:space="preserve">   Less: Capital Allowances</t>
  </si>
  <si>
    <t>Linked to Note 1</t>
  </si>
  <si>
    <t>Adjusted Trading Profit</t>
  </si>
  <si>
    <t>Subtotal Calculation</t>
  </si>
  <si>
    <t>Less: Personal Allowance</t>
  </si>
  <si>
    <t>Standard UK threshold</t>
  </si>
  <si>
    <t>Taxable Income</t>
  </si>
  <si>
    <t>Income Tax Breakdown Schedule</t>
  </si>
  <si>
    <t>Basic Rate Band (20%)</t>
  </si>
  <si>
    <t>Tax on first £37,700</t>
  </si>
  <si>
    <t>Higher Rate Band (40%)</t>
  </si>
  <si>
    <t>Tax on income over £37,700</t>
  </si>
  <si>
    <t>Total Income Tax Liability</t>
  </si>
  <si>
    <t>Final Tax Due</t>
  </si>
  <si>
    <t>Company Tax Computation</t>
  </si>
  <si>
    <t>Profit Before Tax per Accounts</t>
  </si>
  <si>
    <t>From Statutory P&amp;L</t>
  </si>
  <si>
    <t xml:space="preserve">   Add: Entertaining (Clients)</t>
  </si>
  <si>
    <t>Specifically disallowable</t>
  </si>
  <si>
    <t xml:space="preserve">   Add: Legal Fees (Capital)</t>
  </si>
  <si>
    <t>Capital expense item</t>
  </si>
  <si>
    <t>Taxable Total Profits</t>
  </si>
  <si>
    <t>Subtotal Corporate Profit</t>
  </si>
  <si>
    <t>Corporation Tax @ Applicable Rate (19%)</t>
  </si>
  <si>
    <t>Calculated at standard small profit bounds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</si>
</sst>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8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2"/>
      <color rgb="FF1F497D"/>
      <name val="Calibri"/>
    </font>
    <font>
      <i/>
      <sz val="9"/>
      <color rgb="FF59595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3" fillId="2" borderId="0" xfId="0" applyFont="1" applyFill="1" applyAlignment="1">
      <alignment horizontal="center" vertical="center"/>
    </xf>
    <xf numFmtId="164" fontId="5" fillId="0" borderId="1" xfId="0" applyNumberFormat="1" applyFont="1" applyBorder="1"/>
    <xf numFmtId="164" fontId="4" fillId="0" borderId="1" xfId="0" applyNumberFormat="1" applyFont="1" applyBorder="1"/>
    <xf numFmtId="0" fontId="4" fillId="0" borderId="0" xfId="0" applyFont="1"/>
    <xf numFmtId="164" fontId="4" fillId="0" borderId="0" xfId="0" applyNumberFormat="1" applyFont="1"/>
    <xf numFmtId="0" fontId="7" fillId="0" borderId="0" xfId="0" applyFont="1"/>
    <xf numFmtId="0" fontId="5" fillId="0" borderId="0" xfId="0" applyFont="1"/>
    <xf numFmtId="164" fontId="5" fillId="0" borderId="0" xfId="0" applyNumberFormat="1" applyFont="1"/>
    <xf numFmtId="164" fontId="4" fillId="0" borderId="2" xfId="0" applyNumberFormat="1" applyFont="1" applyBorder="1"/>
    <xf numFmtId="164" fontId="4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5"/>
  <cols>
    <col min="1" max="1" width="36" customWidth="1"/>
    <col min="2" max="2" width="120" customWidth="1"/>
  </cols>
  <sheetData>
    <row r="1" spans="1:2" ht="21">
      <c r="A1" s="1" t="s">
        <v>0</v>
      </c>
    </row>
    <row r="2" spans="1:2">
      <c r="A2" s="2" t="s">
        <v>1</v>
      </c>
    </row>
    <row r="5" spans="1:2">
      <c r="A5" s="3" t="s">
        <v>2</v>
      </c>
      <c r="B5" s="3" t="s">
        <v>3</v>
      </c>
    </row>
    <row r="6" spans="1:2">
      <c r="A6" s="4" t="s">
        <v>4</v>
      </c>
      <c r="B6" s="5" t="s">
        <v>5</v>
      </c>
    </row>
    <row r="7" spans="1:2">
      <c r="A7" s="4" t="s">
        <v>6</v>
      </c>
      <c r="B7" s="5" t="s">
        <v>7</v>
      </c>
    </row>
    <row r="8" spans="1:2">
      <c r="A8" s="4" t="s">
        <v>8</v>
      </c>
      <c r="B8" s="5" t="s">
        <v>9</v>
      </c>
    </row>
    <row r="9" spans="1:2">
      <c r="A9" s="4" t="s">
        <v>10</v>
      </c>
      <c r="B9" s="5" t="s">
        <v>11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5"/>
  <cols>
    <col min="1" max="1" width="67" customWidth="1"/>
    <col min="2" max="2" width="16" customWidth="1"/>
    <col min="3" max="3" width="20" customWidth="1"/>
    <col min="4" max="4" width="32" customWidth="1"/>
    <col min="5" max="5" width="26" customWidth="1"/>
  </cols>
  <sheetData>
    <row r="1" spans="1:5" ht="21">
      <c r="A1" s="1" t="s">
        <v>0</v>
      </c>
    </row>
    <row r="2" spans="1:5">
      <c r="A2" s="2" t="s">
        <v>12</v>
      </c>
    </row>
    <row r="5" spans="1:5" ht="15.5">
      <c r="A5" s="6" t="s">
        <v>13</v>
      </c>
    </row>
    <row r="6" spans="1:5">
      <c r="A6" s="7" t="s">
        <v>14</v>
      </c>
      <c r="B6" s="7" t="s">
        <v>15</v>
      </c>
      <c r="C6" s="7" t="s">
        <v>16</v>
      </c>
      <c r="D6" s="7" t="s">
        <v>17</v>
      </c>
      <c r="E6" s="7" t="s">
        <v>18</v>
      </c>
    </row>
    <row r="7" spans="1:5">
      <c r="A7" s="5" t="s">
        <v>19</v>
      </c>
      <c r="B7" s="8">
        <v>5000</v>
      </c>
      <c r="C7" s="8">
        <v>5000</v>
      </c>
      <c r="D7" s="8">
        <v>0</v>
      </c>
      <c r="E7" s="9">
        <f>SUM(C7:D7)</f>
        <v>5000</v>
      </c>
    </row>
    <row r="8" spans="1:5">
      <c r="A8" s="5" t="s">
        <v>20</v>
      </c>
      <c r="B8" s="8">
        <v>100000</v>
      </c>
      <c r="C8" s="8">
        <v>0</v>
      </c>
      <c r="D8" s="5">
        <f>B8*0.18</f>
        <v>18000</v>
      </c>
      <c r="E8" s="9">
        <f>SUM(C8:D8)</f>
        <v>18000</v>
      </c>
    </row>
    <row r="11" spans="1:5">
      <c r="A11" s="10" t="s">
        <v>21</v>
      </c>
    </row>
    <row r="12" spans="1:5">
      <c r="A12" t="s">
        <v>22</v>
      </c>
      <c r="B12" s="11">
        <f>E7</f>
        <v>5000</v>
      </c>
    </row>
    <row r="13" spans="1:5">
      <c r="A13" t="s">
        <v>23</v>
      </c>
      <c r="B13" s="11">
        <f>E8</f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4.5"/>
  <cols>
    <col min="1" max="1" width="57" customWidth="1"/>
    <col min="2" max="2" width="16" customWidth="1"/>
    <col min="3" max="3" width="30" customWidth="1"/>
  </cols>
  <sheetData>
    <row r="1" spans="1:3" ht="21">
      <c r="A1" s="1" t="s">
        <v>0</v>
      </c>
    </row>
    <row r="2" spans="1:3">
      <c r="A2" s="2" t="s">
        <v>24</v>
      </c>
    </row>
    <row r="3" spans="1:3">
      <c r="A3" s="12" t="s">
        <v>25</v>
      </c>
    </row>
    <row r="5" spans="1:3">
      <c r="A5" s="13" t="s">
        <v>26</v>
      </c>
      <c r="B5" s="14">
        <v>62000</v>
      </c>
      <c r="C5" s="12" t="s">
        <v>27</v>
      </c>
    </row>
    <row r="6" spans="1:3">
      <c r="A6" s="10" t="s">
        <v>28</v>
      </c>
      <c r="C6" s="12"/>
    </row>
    <row r="7" spans="1:3">
      <c r="A7" s="13" t="s">
        <v>29</v>
      </c>
      <c r="B7" s="14">
        <v>4000</v>
      </c>
      <c r="C7" s="12" t="s">
        <v>30</v>
      </c>
    </row>
    <row r="8" spans="1:3">
      <c r="A8" s="13" t="s">
        <v>31</v>
      </c>
      <c r="B8" s="14">
        <v>1200</v>
      </c>
      <c r="C8" s="12" t="s">
        <v>32</v>
      </c>
    </row>
    <row r="9" spans="1:3">
      <c r="A9" s="13" t="s">
        <v>33</v>
      </c>
      <c r="B9" s="14">
        <v>2800</v>
      </c>
      <c r="C9" s="12" t="s">
        <v>34</v>
      </c>
    </row>
    <row r="10" spans="1:3">
      <c r="A10" s="10" t="s">
        <v>35</v>
      </c>
      <c r="C10" s="12"/>
    </row>
    <row r="11" spans="1:3">
      <c r="A11" s="13" t="s">
        <v>36</v>
      </c>
      <c r="B11" s="14">
        <f>-'04_Working_Notes'!B12</f>
        <v>-5000</v>
      </c>
      <c r="C11" s="12" t="s">
        <v>37</v>
      </c>
    </row>
    <row r="12" spans="1:3">
      <c r="A12" s="10" t="s">
        <v>38</v>
      </c>
      <c r="B12" s="15">
        <f>SUM(B5,B7:B9)+B11</f>
        <v>65000</v>
      </c>
      <c r="C12" s="12" t="s">
        <v>39</v>
      </c>
    </row>
    <row r="13" spans="1:3">
      <c r="A13" s="13" t="s">
        <v>40</v>
      </c>
      <c r="B13" s="14">
        <v>-12570</v>
      </c>
      <c r="C13" s="12" t="s">
        <v>41</v>
      </c>
    </row>
    <row r="14" spans="1:3">
      <c r="A14" s="10" t="s">
        <v>42</v>
      </c>
      <c r="B14" s="15" t="str">
        <f ca="1">B13+B14</f>
        <v/>
      </c>
      <c r="C14" s="12" t="s">
        <v>39</v>
      </c>
    </row>
    <row r="15" spans="1:3">
      <c r="A15" s="13"/>
      <c r="B15" s="13"/>
      <c r="C15" s="12"/>
    </row>
    <row r="16" spans="1:3">
      <c r="A16" s="10" t="s">
        <v>43</v>
      </c>
      <c r="C16" s="12"/>
    </row>
    <row r="17" spans="1:3">
      <c r="A17" s="13" t="s">
        <v>44</v>
      </c>
      <c r="B17" s="14">
        <f>MIN(37700, B16)*0.2</f>
        <v>7540</v>
      </c>
      <c r="C17" s="12" t="s">
        <v>45</v>
      </c>
    </row>
    <row r="18" spans="1:3">
      <c r="A18" s="13" t="s">
        <v>46</v>
      </c>
      <c r="B18" s="14">
        <f>MAX(0, B16-37700)*0.4</f>
        <v>0</v>
      </c>
      <c r="C18" s="12" t="s">
        <v>47</v>
      </c>
    </row>
    <row r="19" spans="1:3">
      <c r="A19" s="10" t="s">
        <v>48</v>
      </c>
      <c r="B19" s="16" t="str">
        <f ca="1">SUM(B19:B20)</f>
        <v/>
      </c>
      <c r="C19" s="12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A16" sqref="A16"/>
    </sheetView>
  </sheetViews>
  <sheetFormatPr defaultRowHeight="14.5"/>
  <cols>
    <col min="1" max="1" width="43" customWidth="1"/>
    <col min="2" max="2" width="16" customWidth="1"/>
    <col min="3" max="3" width="46" customWidth="1"/>
  </cols>
  <sheetData>
    <row r="1" spans="1:3" ht="21">
      <c r="A1" s="1" t="s">
        <v>0</v>
      </c>
    </row>
    <row r="2" spans="1:3">
      <c r="A2" s="2" t="s">
        <v>50</v>
      </c>
    </row>
    <row r="5" spans="1:3">
      <c r="A5" s="13" t="s">
        <v>51</v>
      </c>
      <c r="B5" s="14">
        <v>180000</v>
      </c>
      <c r="C5" s="12" t="s">
        <v>52</v>
      </c>
    </row>
    <row r="6" spans="1:3">
      <c r="A6" s="10" t="s">
        <v>28</v>
      </c>
      <c r="C6" s="12"/>
    </row>
    <row r="7" spans="1:3">
      <c r="A7" s="13" t="s">
        <v>29</v>
      </c>
      <c r="B7" s="14">
        <v>22000</v>
      </c>
      <c r="C7" s="12" t="s">
        <v>30</v>
      </c>
    </row>
    <row r="8" spans="1:3">
      <c r="A8" s="13" t="s">
        <v>53</v>
      </c>
      <c r="B8" s="14">
        <v>3500</v>
      </c>
      <c r="C8" s="12" t="s">
        <v>54</v>
      </c>
    </row>
    <row r="9" spans="1:3">
      <c r="A9" s="13" t="s">
        <v>55</v>
      </c>
      <c r="B9" s="14">
        <v>2000</v>
      </c>
      <c r="C9" s="12" t="s">
        <v>56</v>
      </c>
    </row>
    <row r="10" spans="1:3">
      <c r="A10" s="10" t="s">
        <v>35</v>
      </c>
      <c r="C10" s="12"/>
    </row>
    <row r="11" spans="1:3">
      <c r="A11" s="13" t="s">
        <v>36</v>
      </c>
      <c r="B11" s="14">
        <f>-'04_Working_Notes'!B13</f>
        <v>-18000</v>
      </c>
      <c r="C11" s="12" t="s">
        <v>37</v>
      </c>
    </row>
    <row r="12" spans="1:3">
      <c r="A12" s="10" t="s">
        <v>57</v>
      </c>
      <c r="B12" s="15">
        <f>SUM(B5,B7:B9)+B11</f>
        <v>189500</v>
      </c>
      <c r="C12" s="12" t="s">
        <v>58</v>
      </c>
    </row>
    <row r="13" spans="1:3">
      <c r="A13" s="10" t="s">
        <v>59</v>
      </c>
      <c r="B13" s="16" t="str">
        <f ca="1">B13*0.19</f>
        <v/>
      </c>
      <c r="C13" s="1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01_Summary_README</vt:lpstr>
      <vt:lpstr>04_Working_Notes</vt:lpstr>
      <vt:lpstr>02_Individual_Comp</vt:lpstr>
      <vt:lpstr>03_Corporate_Comp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Akanksha Singh</cp:lastModifiedBy>
  <cp:lastPrinted>2026-10-21T14:17:19Z</cp:lastPrinted>
  <dcterms:created xsi:type="dcterms:W3CDTF">2026-10-21T14:01:04Z</dcterms:created>
  <dcterms:modified xsi:type="dcterms:W3CDTF">2026-10-21T14:17:54Z</dcterms:modified>
</cp:coreProperties>
</file>